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ystem 2025\01 Meeting record\03 开课系统\"/>
    </mc:Choice>
  </mc:AlternateContent>
  <xr:revisionPtr revIDLastSave="0" documentId="13_ncr:1_{26BE5C52-44AB-47B8-9825-BC5F4FF87309}" xr6:coauthVersionLast="47" xr6:coauthVersionMax="47" xr10:uidLastSave="{00000000-0000-0000-0000-000000000000}"/>
  <bookViews>
    <workbookView xWindow="-120" yWindow="-120" windowWidth="29040" windowHeight="15720" xr2:uid="{6EAE5314-868E-4849-A84A-29D0031A6066}"/>
  </bookViews>
  <sheets>
    <sheet name="MAT ME" sheetId="4" r:id="rId1"/>
    <sheet name="PHY ME" sheetId="5" r:id="rId2"/>
  </sheets>
  <definedNames>
    <definedName name="_xlnm._FilterDatabase" localSheetId="0" hidden="1">'MAT ME'!$A$1:$F$1</definedName>
    <definedName name="_xlnm._FilterDatabase" localSheetId="1" hidden="1">'PHY ME'!$A$1:$F$1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2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2" i="5"/>
</calcChain>
</file>

<file path=xl/sharedStrings.xml><?xml version="1.0" encoding="utf-8"?>
<sst xmlns="http://schemas.openxmlformats.org/spreadsheetml/2006/main" count="321" uniqueCount="178">
  <si>
    <t>Data Structures</t>
  </si>
  <si>
    <t>CST204</t>
  </si>
  <si>
    <t>Digital Logic</t>
  </si>
  <si>
    <t>CST205</t>
  </si>
  <si>
    <t>Design and Analysis of Algorithms</t>
  </si>
  <si>
    <t>CST207</t>
  </si>
  <si>
    <t>Monetary Policy and Financial Supervision</t>
  </si>
  <si>
    <t>FIN209</t>
  </si>
  <si>
    <t>Risk Management</t>
  </si>
  <si>
    <t>FIN303</t>
  </si>
  <si>
    <t>Global Logistics and Supply Chain Management</t>
  </si>
  <si>
    <t>IBU304</t>
  </si>
  <si>
    <t>Mechanics</t>
  </si>
  <si>
    <t>PHY101</t>
  </si>
  <si>
    <t>Thermal Physics</t>
  </si>
  <si>
    <t>PHY102</t>
  </si>
  <si>
    <t>Electromagnetism</t>
  </si>
  <si>
    <t>PHY103</t>
  </si>
  <si>
    <t>Modern Physics</t>
  </si>
  <si>
    <t>PHY104</t>
  </si>
  <si>
    <t>Theoretical Mechanics</t>
  </si>
  <si>
    <t>PHY201</t>
  </si>
  <si>
    <t>Quantum Mechanics I</t>
  </si>
  <si>
    <t>PHY202</t>
  </si>
  <si>
    <t>Electrodynamics I</t>
  </si>
  <si>
    <t>PHY204</t>
  </si>
  <si>
    <t>Thermodynamics and Statistical Physics</t>
  </si>
  <si>
    <t>PHY301</t>
  </si>
  <si>
    <t>Electrodynamics II</t>
  </si>
  <si>
    <t>PHY305</t>
  </si>
  <si>
    <t>Solid State Physics</t>
  </si>
  <si>
    <t>PHY306</t>
  </si>
  <si>
    <t>Astrophysics</t>
  </si>
  <si>
    <t>PHY307</t>
  </si>
  <si>
    <t>Quantum Mechanics II</t>
  </si>
  <si>
    <t>PHY310</t>
  </si>
  <si>
    <t>Cosmology</t>
  </si>
  <si>
    <t>PHY402</t>
  </si>
  <si>
    <t>Nuclear and Particle Physics</t>
  </si>
  <si>
    <t>PHY403</t>
  </si>
  <si>
    <t>Relativity</t>
  </si>
  <si>
    <t>PHY405</t>
  </si>
  <si>
    <t>C and C++ Programming</t>
  </si>
  <si>
    <t>SOF103</t>
  </si>
  <si>
    <t>Principles of Artificial Intelligence</t>
  </si>
  <si>
    <t>SOF106</t>
  </si>
  <si>
    <t>Computer Architecture</t>
  </si>
  <si>
    <t>SOF108</t>
  </si>
  <si>
    <t>Operating Systems</t>
  </si>
  <si>
    <t>SOF201</t>
  </si>
  <si>
    <t>Database</t>
  </si>
  <si>
    <t>SOF202</t>
  </si>
  <si>
    <t>Big Data Analytics</t>
  </si>
  <si>
    <t>SWE404</t>
  </si>
  <si>
    <t>Principles of Accounting</t>
  </si>
  <si>
    <t>SEM103</t>
  </si>
  <si>
    <t>Microeconomics</t>
  </si>
  <si>
    <t>SEM107</t>
  </si>
  <si>
    <t>Macroeconomics</t>
  </si>
  <si>
    <t>SEM108</t>
  </si>
  <si>
    <t>Principles of Finance</t>
  </si>
  <si>
    <t>SEM202</t>
  </si>
  <si>
    <t>Name of Course</t>
  </si>
  <si>
    <t>Course Code</t>
  </si>
  <si>
    <t>Credit Value</t>
  </si>
  <si>
    <t>SEM106</t>
  </si>
  <si>
    <t>Statistics for Business</t>
  </si>
  <si>
    <t>SEM206</t>
  </si>
  <si>
    <t>Discrete Mathematics</t>
  </si>
  <si>
    <t>BSC129</t>
  </si>
  <si>
    <t>Principles of Computer Composition</t>
  </si>
  <si>
    <t>CST301</t>
  </si>
  <si>
    <t>Digital Signal Processing</t>
  </si>
  <si>
    <t>CST304</t>
  </si>
  <si>
    <t>Probability Theory</t>
  </si>
  <si>
    <t>MAT107</t>
  </si>
  <si>
    <t>Statistics</t>
  </si>
  <si>
    <t>MAT203</t>
  </si>
  <si>
    <t>Differential Geometry of Curves and Surfaces</t>
  </si>
  <si>
    <t>MAT303</t>
  </si>
  <si>
    <t>Differentiable Manifold</t>
  </si>
  <si>
    <t>MAT306</t>
  </si>
  <si>
    <t>Algebraic and Geometric Topology</t>
  </si>
  <si>
    <t>MAT307</t>
  </si>
  <si>
    <t>Matrix Groups</t>
  </si>
  <si>
    <t>MAT308</t>
  </si>
  <si>
    <t>Dynamical Systems</t>
  </si>
  <si>
    <t>MAT312</t>
  </si>
  <si>
    <t>No.</t>
  </si>
  <si>
    <t>Problem Solving Skills I</t>
  </si>
  <si>
    <t>MAT110</t>
  </si>
  <si>
    <t>Abstract Algebra II</t>
  </si>
  <si>
    <t>MAT205</t>
  </si>
  <si>
    <t>Advanced Linear Algebra</t>
  </si>
  <si>
    <t>MAT207</t>
  </si>
  <si>
    <t>General Topology</t>
  </si>
  <si>
    <t>MAT208</t>
  </si>
  <si>
    <t xml:space="preserve">Combinatorics </t>
  </si>
  <si>
    <t>MAT209</t>
  </si>
  <si>
    <t>Undergraduate Research</t>
  </si>
  <si>
    <t>MAT212</t>
  </si>
  <si>
    <t>Problem Solving Skills II</t>
  </si>
  <si>
    <t>MAT213</t>
  </si>
  <si>
    <t>Data Analysis</t>
  </si>
  <si>
    <t>MAT214</t>
  </si>
  <si>
    <t>Partial Differential Equations</t>
  </si>
  <si>
    <t>MAT301</t>
  </si>
  <si>
    <t>Numerical Analysis</t>
  </si>
  <si>
    <t>MAT302</t>
  </si>
  <si>
    <t>Real Analysis</t>
  </si>
  <si>
    <t>MAT304</t>
  </si>
  <si>
    <t>Complex Analysis II</t>
  </si>
  <si>
    <t>MAT305</t>
  </si>
  <si>
    <t>Differentiable Manifolds</t>
  </si>
  <si>
    <t>Matrix Theory</t>
  </si>
  <si>
    <t>MAT309</t>
  </si>
  <si>
    <t>Analytic Number Theory</t>
  </si>
  <si>
    <t>MAT310</t>
  </si>
  <si>
    <t>Algebraic Number Theory</t>
  </si>
  <si>
    <t>MAT311</t>
  </si>
  <si>
    <t>Stochastic Processes</t>
  </si>
  <si>
    <t>MAT313</t>
  </si>
  <si>
    <t>Regression Analysis</t>
  </si>
  <si>
    <t>MAT314</t>
  </si>
  <si>
    <t>Time Series</t>
  </si>
  <si>
    <t>MAT315</t>
  </si>
  <si>
    <t>Financial Mathematics I</t>
  </si>
  <si>
    <t>MAT210</t>
  </si>
  <si>
    <t>Financial Mathematics II</t>
  </si>
  <si>
    <t>MAT317</t>
  </si>
  <si>
    <t>Financial Mathematics III</t>
  </si>
  <si>
    <t>MAT318</t>
  </si>
  <si>
    <t>Computational Physics</t>
  </si>
  <si>
    <t>MAT321</t>
  </si>
  <si>
    <t>Problem Solving Skills III</t>
  </si>
  <si>
    <t>MAT322</t>
  </si>
  <si>
    <t>Algebraic Topology</t>
  </si>
  <si>
    <t>MAT326</t>
  </si>
  <si>
    <t>Analysis and Manifolds</t>
  </si>
  <si>
    <t>MAT327</t>
  </si>
  <si>
    <t>Classical Algebraic Geometry</t>
  </si>
  <si>
    <t>MAT328</t>
  </si>
  <si>
    <t>Bayesian Statistics</t>
  </si>
  <si>
    <t>MAT323</t>
  </si>
  <si>
    <t>Multivariate Statistical Analysis</t>
  </si>
  <si>
    <t>MAT324</t>
  </si>
  <si>
    <t>Astronomy</t>
  </si>
  <si>
    <t>PHY208</t>
  </si>
  <si>
    <t>Electronic Circuits</t>
  </si>
  <si>
    <t>PHY209</t>
  </si>
  <si>
    <t>Undergraduate Research I</t>
  </si>
  <si>
    <t>PHY210</t>
  </si>
  <si>
    <t>Atomic and Molecular Physics</t>
  </si>
  <si>
    <t>PHY308</t>
  </si>
  <si>
    <t>Photonics and Optoelectronics</t>
  </si>
  <si>
    <t>PHY309</t>
  </si>
  <si>
    <t>Mathematical Methods in Physics II</t>
  </si>
  <si>
    <t>PHY311</t>
  </si>
  <si>
    <t>Quantum Information</t>
  </si>
  <si>
    <t>PHY312</t>
  </si>
  <si>
    <t>Semiconductor Physics and Devices</t>
  </si>
  <si>
    <t>PHY404</t>
  </si>
  <si>
    <t>Nanoscience and Nanotechnology</t>
  </si>
  <si>
    <t>PHY406</t>
  </si>
  <si>
    <t>Machine Learning for Physicists</t>
  </si>
  <si>
    <t>PHY407</t>
  </si>
  <si>
    <t>Data Intensive Science</t>
  </si>
  <si>
    <t>PHY408</t>
  </si>
  <si>
    <t>Principles of Management **</t>
  </si>
  <si>
    <t>Microeconomics **</t>
  </si>
  <si>
    <t>Macroeconomics **</t>
  </si>
  <si>
    <t>Principles of Finance **</t>
  </si>
  <si>
    <t>PHY - Group 1</t>
  </si>
  <si>
    <t>PHY - Group 2</t>
  </si>
  <si>
    <t>Remark</t>
  </si>
  <si>
    <t>MAT - Group1</t>
  </si>
  <si>
    <t>MAT - Group2</t>
  </si>
  <si>
    <t>借MAT-G1 ME课，作为PHY-G2 ME课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</si>
</sst>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rgb="FFCCFFFF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CC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 applyAlignment="1"/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 applyAlignme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0" fillId="4" borderId="0" xfId="0" applyFill="1"/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5" borderId="0" xfId="0" applyFill="1"/>
    <xf numFmtId="0" fontId="5" fillId="0" borderId="3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6CBB-0B03-413D-8291-82745D251931}">
  <dimension ref="A1:F65"/>
  <sheetViews>
    <sheetView tabSelected="1" topLeftCell="A46" workbookViewId="0">
      <selection activeCell="I58" sqref="I58"/>
    </sheetView>
  </sheetViews>
  <sheetFormatPr defaultRowHeight="15" x14ac:dyDescent="0.25"/>
  <cols>
    <col min="1" max="1" width="14.7109375" style="4" customWidth="1"/>
    <col min="2" max="2" width="21.85546875" style="4" customWidth="1"/>
    <col min="3" max="5" width="14.7109375" style="4" customWidth="1"/>
    <col min="6" max="6" width="45.42578125" style="33" customWidth="1"/>
    <col min="7" max="16384" width="9.140625" style="4"/>
  </cols>
  <sheetData>
    <row r="1" spans="1:6" x14ac:dyDescent="0.25">
      <c r="A1" s="3" t="s">
        <v>88</v>
      </c>
      <c r="B1" s="3" t="s">
        <v>62</v>
      </c>
      <c r="C1" s="3" t="s">
        <v>63</v>
      </c>
      <c r="D1" s="3" t="s">
        <v>64</v>
      </c>
      <c r="E1" s="7" t="s">
        <v>174</v>
      </c>
      <c r="F1" s="6" t="s">
        <v>177</v>
      </c>
    </row>
    <row r="2" spans="1:6" x14ac:dyDescent="0.25">
      <c r="A2" s="8">
        <v>1</v>
      </c>
      <c r="B2" s="9" t="s">
        <v>89</v>
      </c>
      <c r="C2" s="10" t="s">
        <v>90</v>
      </c>
      <c r="D2" s="10">
        <v>2</v>
      </c>
      <c r="E2" s="11" t="s">
        <v>175</v>
      </c>
      <c r="F2" s="33" t="e">
        <f>VLOOKUP(C2,'PHY ME'!C:F,3,0)</f>
        <v>#N/A</v>
      </c>
    </row>
    <row r="3" spans="1:6" x14ac:dyDescent="0.25">
      <c r="A3" s="8">
        <v>2</v>
      </c>
      <c r="B3" s="9" t="s">
        <v>91</v>
      </c>
      <c r="C3" s="10" t="s">
        <v>92</v>
      </c>
      <c r="D3" s="10">
        <v>4</v>
      </c>
      <c r="E3" s="11" t="s">
        <v>175</v>
      </c>
      <c r="F3" s="33" t="e">
        <f>VLOOKUP(C3,'PHY ME'!C:F,3,0)</f>
        <v>#N/A</v>
      </c>
    </row>
    <row r="4" spans="1:6" x14ac:dyDescent="0.25">
      <c r="A4" s="8">
        <v>3</v>
      </c>
      <c r="B4" s="9" t="s">
        <v>93</v>
      </c>
      <c r="C4" s="10" t="s">
        <v>94</v>
      </c>
      <c r="D4" s="10">
        <v>4</v>
      </c>
      <c r="E4" s="11" t="s">
        <v>175</v>
      </c>
      <c r="F4" s="33" t="e">
        <f>VLOOKUP(C4,'PHY ME'!C:F,3,0)</f>
        <v>#N/A</v>
      </c>
    </row>
    <row r="5" spans="1:6" x14ac:dyDescent="0.25">
      <c r="A5" s="8">
        <v>4</v>
      </c>
      <c r="B5" s="9" t="s">
        <v>95</v>
      </c>
      <c r="C5" s="10" t="s">
        <v>96</v>
      </c>
      <c r="D5" s="10">
        <v>4</v>
      </c>
      <c r="E5" s="11" t="s">
        <v>175</v>
      </c>
      <c r="F5" s="33" t="e">
        <f>VLOOKUP(C5,'PHY ME'!C:F,3,0)</f>
        <v>#N/A</v>
      </c>
    </row>
    <row r="6" spans="1:6" x14ac:dyDescent="0.25">
      <c r="A6" s="8">
        <v>5</v>
      </c>
      <c r="B6" s="9" t="s">
        <v>97</v>
      </c>
      <c r="C6" s="10" t="s">
        <v>98</v>
      </c>
      <c r="D6" s="10">
        <v>4</v>
      </c>
      <c r="E6" s="11" t="s">
        <v>175</v>
      </c>
      <c r="F6" s="33" t="e">
        <f>VLOOKUP(C6,'PHY ME'!C:F,3,0)</f>
        <v>#N/A</v>
      </c>
    </row>
    <row r="7" spans="1:6" x14ac:dyDescent="0.25">
      <c r="A7" s="8">
        <v>6</v>
      </c>
      <c r="B7" s="9" t="s">
        <v>99</v>
      </c>
      <c r="C7" s="10" t="s">
        <v>100</v>
      </c>
      <c r="D7" s="10">
        <v>4</v>
      </c>
      <c r="E7" s="11" t="s">
        <v>175</v>
      </c>
      <c r="F7" s="33" t="e">
        <f>VLOOKUP(C7,'PHY ME'!C:F,3,0)</f>
        <v>#N/A</v>
      </c>
    </row>
    <row r="8" spans="1:6" x14ac:dyDescent="0.25">
      <c r="A8" s="8">
        <v>7</v>
      </c>
      <c r="B8" s="9" t="s">
        <v>101</v>
      </c>
      <c r="C8" s="10" t="s">
        <v>102</v>
      </c>
      <c r="D8" s="10">
        <v>2</v>
      </c>
      <c r="E8" s="11" t="s">
        <v>175</v>
      </c>
      <c r="F8" s="33" t="e">
        <f>VLOOKUP(C8,'PHY ME'!C:F,3,0)</f>
        <v>#N/A</v>
      </c>
    </row>
    <row r="9" spans="1:6" x14ac:dyDescent="0.25">
      <c r="A9" s="8">
        <v>8</v>
      </c>
      <c r="B9" s="9" t="s">
        <v>103</v>
      </c>
      <c r="C9" s="10" t="s">
        <v>104</v>
      </c>
      <c r="D9" s="10">
        <v>4</v>
      </c>
      <c r="E9" s="11" t="s">
        <v>175</v>
      </c>
      <c r="F9" s="33" t="e">
        <f>VLOOKUP(C9,'PHY ME'!C:F,3,0)</f>
        <v>#N/A</v>
      </c>
    </row>
    <row r="10" spans="1:6" x14ac:dyDescent="0.25">
      <c r="A10" s="8">
        <v>9</v>
      </c>
      <c r="B10" s="9" t="s">
        <v>105</v>
      </c>
      <c r="C10" s="10" t="s">
        <v>106</v>
      </c>
      <c r="D10" s="10">
        <v>4</v>
      </c>
      <c r="E10" s="11" t="s">
        <v>175</v>
      </c>
      <c r="F10" s="33" t="e">
        <f>VLOOKUP(C10,'PHY ME'!C:F,3,0)</f>
        <v>#N/A</v>
      </c>
    </row>
    <row r="11" spans="1:6" x14ac:dyDescent="0.25">
      <c r="A11" s="8">
        <v>10</v>
      </c>
      <c r="B11" s="9" t="s">
        <v>107</v>
      </c>
      <c r="C11" s="10" t="s">
        <v>108</v>
      </c>
      <c r="D11" s="10">
        <v>4</v>
      </c>
      <c r="E11" s="11" t="s">
        <v>175</v>
      </c>
      <c r="F11" s="33" t="e">
        <f>VLOOKUP(C11,'PHY ME'!C:F,3,0)</f>
        <v>#N/A</v>
      </c>
    </row>
    <row r="12" spans="1:6" x14ac:dyDescent="0.25">
      <c r="A12" s="8">
        <v>11</v>
      </c>
      <c r="B12" s="9" t="s">
        <v>78</v>
      </c>
      <c r="C12" s="10" t="s">
        <v>79</v>
      </c>
      <c r="D12" s="10">
        <v>4</v>
      </c>
      <c r="E12" s="11" t="s">
        <v>175</v>
      </c>
      <c r="F12" s="33" t="str">
        <f>VLOOKUP(C12,'PHY ME'!C:F,3,0)</f>
        <v>PHY - Group 2</v>
      </c>
    </row>
    <row r="13" spans="1:6" x14ac:dyDescent="0.25">
      <c r="A13" s="8">
        <v>12</v>
      </c>
      <c r="B13" s="9" t="s">
        <v>109</v>
      </c>
      <c r="C13" s="10" t="s">
        <v>110</v>
      </c>
      <c r="D13" s="10">
        <v>4</v>
      </c>
      <c r="E13" s="11" t="s">
        <v>175</v>
      </c>
      <c r="F13" s="33" t="e">
        <f>VLOOKUP(C13,'PHY ME'!C:F,3,0)</f>
        <v>#N/A</v>
      </c>
    </row>
    <row r="14" spans="1:6" x14ac:dyDescent="0.25">
      <c r="A14" s="8">
        <v>13</v>
      </c>
      <c r="B14" s="9" t="s">
        <v>111</v>
      </c>
      <c r="C14" s="10" t="s">
        <v>112</v>
      </c>
      <c r="D14" s="10">
        <v>4</v>
      </c>
      <c r="E14" s="11" t="s">
        <v>175</v>
      </c>
      <c r="F14" s="33" t="e">
        <f>VLOOKUP(C14,'PHY ME'!C:F,3,0)</f>
        <v>#N/A</v>
      </c>
    </row>
    <row r="15" spans="1:6" x14ac:dyDescent="0.25">
      <c r="A15" s="8">
        <v>14</v>
      </c>
      <c r="B15" s="9" t="s">
        <v>113</v>
      </c>
      <c r="C15" s="10" t="s">
        <v>81</v>
      </c>
      <c r="D15" s="10">
        <v>4</v>
      </c>
      <c r="E15" s="11" t="s">
        <v>175</v>
      </c>
      <c r="F15" s="33" t="str">
        <f>VLOOKUP(C15,'PHY ME'!C:F,3,0)</f>
        <v>PHY - Group 2</v>
      </c>
    </row>
    <row r="16" spans="1:6" x14ac:dyDescent="0.25">
      <c r="A16" s="8">
        <v>15</v>
      </c>
      <c r="B16" s="9" t="s">
        <v>82</v>
      </c>
      <c r="C16" s="10" t="s">
        <v>83</v>
      </c>
      <c r="D16" s="10">
        <v>4</v>
      </c>
      <c r="E16" s="11" t="s">
        <v>175</v>
      </c>
      <c r="F16" s="33" t="str">
        <f>VLOOKUP(C16,'PHY ME'!C:F,3,0)</f>
        <v>PHY - Group 2</v>
      </c>
    </row>
    <row r="17" spans="1:6" x14ac:dyDescent="0.25">
      <c r="A17" s="8">
        <v>16</v>
      </c>
      <c r="B17" s="9" t="s">
        <v>84</v>
      </c>
      <c r="C17" s="10" t="s">
        <v>85</v>
      </c>
      <c r="D17" s="10">
        <v>4</v>
      </c>
      <c r="E17" s="11" t="s">
        <v>175</v>
      </c>
      <c r="F17" s="33" t="str">
        <f>VLOOKUP(C17,'PHY ME'!C:F,3,0)</f>
        <v>PHY - Group 2</v>
      </c>
    </row>
    <row r="18" spans="1:6" x14ac:dyDescent="0.25">
      <c r="A18" s="8">
        <v>17</v>
      </c>
      <c r="B18" s="9" t="s">
        <v>114</v>
      </c>
      <c r="C18" s="10" t="s">
        <v>115</v>
      </c>
      <c r="D18" s="10">
        <v>4</v>
      </c>
      <c r="E18" s="11" t="s">
        <v>175</v>
      </c>
      <c r="F18" s="33" t="e">
        <f>VLOOKUP(C18,'PHY ME'!C:F,3,0)</f>
        <v>#N/A</v>
      </c>
    </row>
    <row r="19" spans="1:6" x14ac:dyDescent="0.25">
      <c r="A19" s="8">
        <v>18</v>
      </c>
      <c r="B19" s="9" t="s">
        <v>116</v>
      </c>
      <c r="C19" s="10" t="s">
        <v>117</v>
      </c>
      <c r="D19" s="10">
        <v>4</v>
      </c>
      <c r="E19" s="11" t="s">
        <v>175</v>
      </c>
      <c r="F19" s="33" t="e">
        <f>VLOOKUP(C19,'PHY ME'!C:F,3,0)</f>
        <v>#N/A</v>
      </c>
    </row>
    <row r="20" spans="1:6" x14ac:dyDescent="0.25">
      <c r="A20" s="8">
        <v>19</v>
      </c>
      <c r="B20" s="9" t="s">
        <v>118</v>
      </c>
      <c r="C20" s="10" t="s">
        <v>119</v>
      </c>
      <c r="D20" s="10">
        <v>4</v>
      </c>
      <c r="E20" s="11" t="s">
        <v>175</v>
      </c>
      <c r="F20" s="33" t="e">
        <f>VLOOKUP(C20,'PHY ME'!C:F,3,0)</f>
        <v>#N/A</v>
      </c>
    </row>
    <row r="21" spans="1:6" x14ac:dyDescent="0.25">
      <c r="A21" s="8">
        <v>20</v>
      </c>
      <c r="B21" s="9" t="s">
        <v>86</v>
      </c>
      <c r="C21" s="10" t="s">
        <v>87</v>
      </c>
      <c r="D21" s="10">
        <v>4</v>
      </c>
      <c r="E21" s="11" t="s">
        <v>175</v>
      </c>
      <c r="F21" s="33" t="str">
        <f>VLOOKUP(C21,'PHY ME'!C:F,3,0)</f>
        <v>PHY - Group 2</v>
      </c>
    </row>
    <row r="22" spans="1:6" x14ac:dyDescent="0.25">
      <c r="A22" s="8">
        <v>21</v>
      </c>
      <c r="B22" s="9" t="s">
        <v>120</v>
      </c>
      <c r="C22" s="10" t="s">
        <v>121</v>
      </c>
      <c r="D22" s="10">
        <v>4</v>
      </c>
      <c r="E22" s="11" t="s">
        <v>175</v>
      </c>
      <c r="F22" s="33" t="e">
        <f>VLOOKUP(C22,'PHY ME'!C:F,3,0)</f>
        <v>#N/A</v>
      </c>
    </row>
    <row r="23" spans="1:6" x14ac:dyDescent="0.25">
      <c r="A23" s="8">
        <v>22</v>
      </c>
      <c r="B23" s="9" t="s">
        <v>122</v>
      </c>
      <c r="C23" s="10" t="s">
        <v>123</v>
      </c>
      <c r="D23" s="10">
        <v>4</v>
      </c>
      <c r="E23" s="11" t="s">
        <v>175</v>
      </c>
      <c r="F23" s="33" t="e">
        <f>VLOOKUP(C23,'PHY ME'!C:F,3,0)</f>
        <v>#N/A</v>
      </c>
    </row>
    <row r="24" spans="1:6" x14ac:dyDescent="0.25">
      <c r="A24" s="8">
        <v>23</v>
      </c>
      <c r="B24" s="9" t="s">
        <v>124</v>
      </c>
      <c r="C24" s="10" t="s">
        <v>125</v>
      </c>
      <c r="D24" s="10">
        <v>4</v>
      </c>
      <c r="E24" s="11" t="s">
        <v>175</v>
      </c>
      <c r="F24" s="33" t="e">
        <f>VLOOKUP(C24,'PHY ME'!C:F,3,0)</f>
        <v>#N/A</v>
      </c>
    </row>
    <row r="25" spans="1:6" x14ac:dyDescent="0.25">
      <c r="A25" s="8">
        <v>24</v>
      </c>
      <c r="B25" s="9" t="s">
        <v>126</v>
      </c>
      <c r="C25" s="10" t="s">
        <v>127</v>
      </c>
      <c r="D25" s="10">
        <v>4</v>
      </c>
      <c r="E25" s="11" t="s">
        <v>175</v>
      </c>
      <c r="F25" s="33" t="e">
        <f>VLOOKUP(C25,'PHY ME'!C:F,3,0)</f>
        <v>#N/A</v>
      </c>
    </row>
    <row r="26" spans="1:6" x14ac:dyDescent="0.25">
      <c r="A26" s="8">
        <v>25</v>
      </c>
      <c r="B26" s="9" t="s">
        <v>128</v>
      </c>
      <c r="C26" s="10" t="s">
        <v>129</v>
      </c>
      <c r="D26" s="10">
        <v>4</v>
      </c>
      <c r="E26" s="11" t="s">
        <v>175</v>
      </c>
      <c r="F26" s="33" t="e">
        <f>VLOOKUP(C26,'PHY ME'!C:F,3,0)</f>
        <v>#N/A</v>
      </c>
    </row>
    <row r="27" spans="1:6" x14ac:dyDescent="0.25">
      <c r="A27" s="8">
        <v>26</v>
      </c>
      <c r="B27" s="9" t="s">
        <v>130</v>
      </c>
      <c r="C27" s="10" t="s">
        <v>131</v>
      </c>
      <c r="D27" s="10">
        <v>4</v>
      </c>
      <c r="E27" s="11" t="s">
        <v>175</v>
      </c>
      <c r="F27" s="33" t="e">
        <f>VLOOKUP(C27,'PHY ME'!C:F,3,0)</f>
        <v>#N/A</v>
      </c>
    </row>
    <row r="28" spans="1:6" x14ac:dyDescent="0.25">
      <c r="A28" s="8">
        <v>27</v>
      </c>
      <c r="B28" s="9" t="s">
        <v>132</v>
      </c>
      <c r="C28" s="10" t="s">
        <v>133</v>
      </c>
      <c r="D28" s="10">
        <v>4</v>
      </c>
      <c r="E28" s="11" t="s">
        <v>175</v>
      </c>
      <c r="F28" s="33" t="e">
        <f>VLOOKUP(C28,'PHY ME'!C:F,3,0)</f>
        <v>#N/A</v>
      </c>
    </row>
    <row r="29" spans="1:6" x14ac:dyDescent="0.25">
      <c r="A29" s="8">
        <v>28</v>
      </c>
      <c r="B29" s="9" t="s">
        <v>134</v>
      </c>
      <c r="C29" s="10" t="s">
        <v>135</v>
      </c>
      <c r="D29" s="10">
        <v>2</v>
      </c>
      <c r="E29" s="11" t="s">
        <v>175</v>
      </c>
      <c r="F29" s="33" t="e">
        <f>VLOOKUP(C29,'PHY ME'!C:F,3,0)</f>
        <v>#N/A</v>
      </c>
    </row>
    <row r="30" spans="1:6" x14ac:dyDescent="0.25">
      <c r="A30" s="12">
        <v>29</v>
      </c>
      <c r="B30" s="13" t="s">
        <v>136</v>
      </c>
      <c r="C30" s="14" t="s">
        <v>137</v>
      </c>
      <c r="D30" s="14">
        <v>4</v>
      </c>
      <c r="E30" s="11" t="s">
        <v>175</v>
      </c>
      <c r="F30" s="33" t="e">
        <f>VLOOKUP(C30,'PHY ME'!C:F,3,0)</f>
        <v>#N/A</v>
      </c>
    </row>
    <row r="31" spans="1:6" x14ac:dyDescent="0.25">
      <c r="A31" s="12">
        <v>30</v>
      </c>
      <c r="B31" s="13" t="s">
        <v>138</v>
      </c>
      <c r="C31" s="14" t="s">
        <v>139</v>
      </c>
      <c r="D31" s="14">
        <v>4</v>
      </c>
      <c r="E31" s="11" t="s">
        <v>175</v>
      </c>
      <c r="F31" s="33" t="e">
        <f>VLOOKUP(C31,'PHY ME'!C:F,3,0)</f>
        <v>#N/A</v>
      </c>
    </row>
    <row r="32" spans="1:6" x14ac:dyDescent="0.25">
      <c r="A32" s="12">
        <v>31</v>
      </c>
      <c r="B32" s="13" t="s">
        <v>140</v>
      </c>
      <c r="C32" s="14" t="s">
        <v>141</v>
      </c>
      <c r="D32" s="14">
        <v>4</v>
      </c>
      <c r="E32" s="11" t="s">
        <v>175</v>
      </c>
      <c r="F32" s="33" t="e">
        <f>VLOOKUP(C32,'PHY ME'!C:F,3,0)</f>
        <v>#N/A</v>
      </c>
    </row>
    <row r="33" spans="1:6" x14ac:dyDescent="0.25">
      <c r="A33" s="8">
        <v>32</v>
      </c>
      <c r="B33" s="9" t="s">
        <v>142</v>
      </c>
      <c r="C33" s="10" t="s">
        <v>143</v>
      </c>
      <c r="D33" s="10">
        <v>3</v>
      </c>
      <c r="E33" s="11" t="s">
        <v>175</v>
      </c>
      <c r="F33" s="33" t="e">
        <f>VLOOKUP(C33,'PHY ME'!C:F,3,0)</f>
        <v>#N/A</v>
      </c>
    </row>
    <row r="34" spans="1:6" x14ac:dyDescent="0.25">
      <c r="A34" s="8">
        <v>33</v>
      </c>
      <c r="B34" s="9" t="s">
        <v>144</v>
      </c>
      <c r="C34" s="10" t="s">
        <v>145</v>
      </c>
      <c r="D34" s="10">
        <v>3</v>
      </c>
      <c r="E34" s="11" t="s">
        <v>175</v>
      </c>
      <c r="F34" s="33" t="e">
        <f>VLOOKUP(C34,'PHY ME'!C:F,3,0)</f>
        <v>#N/A</v>
      </c>
    </row>
    <row r="35" spans="1:6" x14ac:dyDescent="0.25">
      <c r="A35" s="15">
        <v>34</v>
      </c>
      <c r="B35" s="16" t="s">
        <v>0</v>
      </c>
      <c r="C35" s="17" t="s">
        <v>1</v>
      </c>
      <c r="D35" s="17">
        <v>4</v>
      </c>
      <c r="E35" s="18" t="s">
        <v>176</v>
      </c>
      <c r="F35" s="33" t="str">
        <f>VLOOKUP(C35,'PHY ME'!C:F,3,0)</f>
        <v>PHY - Group 2</v>
      </c>
    </row>
    <row r="36" spans="1:6" x14ac:dyDescent="0.25">
      <c r="A36" s="15">
        <v>35</v>
      </c>
      <c r="B36" s="16" t="s">
        <v>2</v>
      </c>
      <c r="C36" s="17" t="s">
        <v>3</v>
      </c>
      <c r="D36" s="17">
        <v>4</v>
      </c>
      <c r="E36" s="18" t="s">
        <v>176</v>
      </c>
      <c r="F36" s="33" t="str">
        <f>VLOOKUP(C36,'PHY ME'!C:F,3,0)</f>
        <v>PHY - Group 2</v>
      </c>
    </row>
    <row r="37" spans="1:6" x14ac:dyDescent="0.25">
      <c r="A37" s="15">
        <v>36</v>
      </c>
      <c r="B37" s="16" t="s">
        <v>4</v>
      </c>
      <c r="C37" s="17" t="s">
        <v>5</v>
      </c>
      <c r="D37" s="17">
        <v>4</v>
      </c>
      <c r="E37" s="18" t="s">
        <v>176</v>
      </c>
      <c r="F37" s="33" t="str">
        <f>VLOOKUP(C37,'PHY ME'!C:F,3,0)</f>
        <v>PHY - Group 2</v>
      </c>
    </row>
    <row r="38" spans="1:6" x14ac:dyDescent="0.25">
      <c r="A38" s="15">
        <v>37</v>
      </c>
      <c r="B38" s="19" t="s">
        <v>6</v>
      </c>
      <c r="C38" s="20" t="s">
        <v>7</v>
      </c>
      <c r="D38" s="20">
        <v>4</v>
      </c>
      <c r="E38" s="18" t="s">
        <v>176</v>
      </c>
      <c r="F38" s="33" t="str">
        <f>VLOOKUP(C38,'PHY ME'!C:F,3,0)</f>
        <v>PHY - Group 2</v>
      </c>
    </row>
    <row r="39" spans="1:6" x14ac:dyDescent="0.25">
      <c r="A39" s="15">
        <v>38</v>
      </c>
      <c r="B39" s="19" t="s">
        <v>8</v>
      </c>
      <c r="C39" s="20" t="s">
        <v>9</v>
      </c>
      <c r="D39" s="20">
        <v>4</v>
      </c>
      <c r="E39" s="18" t="s">
        <v>176</v>
      </c>
      <c r="F39" s="33" t="str">
        <f>VLOOKUP(C39,'PHY ME'!C:F,3,0)</f>
        <v>PHY - Group 2</v>
      </c>
    </row>
    <row r="40" spans="1:6" x14ac:dyDescent="0.25">
      <c r="A40" s="15">
        <v>39</v>
      </c>
      <c r="B40" s="19" t="s">
        <v>10</v>
      </c>
      <c r="C40" s="20" t="s">
        <v>11</v>
      </c>
      <c r="D40" s="20">
        <v>4</v>
      </c>
      <c r="E40" s="18" t="s">
        <v>176</v>
      </c>
      <c r="F40" s="33" t="str">
        <f>VLOOKUP(C40,'PHY ME'!C:F,3,0)</f>
        <v>PHY - Group 2</v>
      </c>
    </row>
    <row r="41" spans="1:6" x14ac:dyDescent="0.25">
      <c r="A41" s="15">
        <v>40</v>
      </c>
      <c r="B41" s="16" t="s">
        <v>12</v>
      </c>
      <c r="C41" s="17" t="s">
        <v>13</v>
      </c>
      <c r="D41" s="17">
        <v>4</v>
      </c>
      <c r="E41" s="18" t="s">
        <v>176</v>
      </c>
      <c r="F41" s="33" t="e">
        <f>VLOOKUP(C41,'PHY ME'!C:F,3,0)</f>
        <v>#N/A</v>
      </c>
    </row>
    <row r="42" spans="1:6" x14ac:dyDescent="0.25">
      <c r="A42" s="15">
        <v>41</v>
      </c>
      <c r="B42" s="16" t="s">
        <v>14</v>
      </c>
      <c r="C42" s="17" t="s">
        <v>15</v>
      </c>
      <c r="D42" s="17">
        <v>4</v>
      </c>
      <c r="E42" s="18" t="s">
        <v>176</v>
      </c>
      <c r="F42" s="33" t="e">
        <f>VLOOKUP(C42,'PHY ME'!C:F,3,0)</f>
        <v>#N/A</v>
      </c>
    </row>
    <row r="43" spans="1:6" x14ac:dyDescent="0.25">
      <c r="A43" s="15">
        <v>42</v>
      </c>
      <c r="B43" s="16" t="s">
        <v>16</v>
      </c>
      <c r="C43" s="17" t="s">
        <v>17</v>
      </c>
      <c r="D43" s="17">
        <v>4</v>
      </c>
      <c r="E43" s="18" t="s">
        <v>176</v>
      </c>
      <c r="F43" s="33" t="e">
        <f>VLOOKUP(C43,'PHY ME'!C:F,3,0)</f>
        <v>#N/A</v>
      </c>
    </row>
    <row r="44" spans="1:6" x14ac:dyDescent="0.25">
      <c r="A44" s="15">
        <v>43</v>
      </c>
      <c r="B44" s="16" t="s">
        <v>18</v>
      </c>
      <c r="C44" s="17" t="s">
        <v>19</v>
      </c>
      <c r="D44" s="17">
        <v>4</v>
      </c>
      <c r="E44" s="18" t="s">
        <v>176</v>
      </c>
      <c r="F44" s="33" t="e">
        <f>VLOOKUP(C44,'PHY ME'!C:F,3,0)</f>
        <v>#N/A</v>
      </c>
    </row>
    <row r="45" spans="1:6" x14ac:dyDescent="0.25">
      <c r="A45" s="15">
        <v>44</v>
      </c>
      <c r="B45" s="19" t="s">
        <v>20</v>
      </c>
      <c r="C45" s="20" t="s">
        <v>21</v>
      </c>
      <c r="D45" s="20">
        <v>4</v>
      </c>
      <c r="E45" s="18" t="s">
        <v>176</v>
      </c>
      <c r="F45" s="33" t="e">
        <f>VLOOKUP(C45,'PHY ME'!C:F,3,0)</f>
        <v>#N/A</v>
      </c>
    </row>
    <row r="46" spans="1:6" x14ac:dyDescent="0.25">
      <c r="A46" s="15">
        <v>45</v>
      </c>
      <c r="B46" s="19" t="s">
        <v>22</v>
      </c>
      <c r="C46" s="20" t="s">
        <v>23</v>
      </c>
      <c r="D46" s="20">
        <v>4</v>
      </c>
      <c r="E46" s="18" t="s">
        <v>176</v>
      </c>
      <c r="F46" s="33" t="e">
        <f>VLOOKUP(C46,'PHY ME'!C:F,3,0)</f>
        <v>#N/A</v>
      </c>
    </row>
    <row r="47" spans="1:6" x14ac:dyDescent="0.25">
      <c r="A47" s="15">
        <v>46</v>
      </c>
      <c r="B47" s="19" t="s">
        <v>24</v>
      </c>
      <c r="C47" s="20" t="s">
        <v>25</v>
      </c>
      <c r="D47" s="20">
        <v>4</v>
      </c>
      <c r="E47" s="18" t="s">
        <v>176</v>
      </c>
      <c r="F47" s="33" t="e">
        <f>VLOOKUP(C47,'PHY ME'!C:F,3,0)</f>
        <v>#N/A</v>
      </c>
    </row>
    <row r="48" spans="1:6" x14ac:dyDescent="0.25">
      <c r="A48" s="15">
        <v>47</v>
      </c>
      <c r="B48" s="19" t="s">
        <v>26</v>
      </c>
      <c r="C48" s="20" t="s">
        <v>27</v>
      </c>
      <c r="D48" s="20">
        <v>4</v>
      </c>
      <c r="E48" s="18" t="s">
        <v>176</v>
      </c>
      <c r="F48" s="33" t="e">
        <f>VLOOKUP(C48,'PHY ME'!C:F,3,0)</f>
        <v>#N/A</v>
      </c>
    </row>
    <row r="49" spans="1:6" x14ac:dyDescent="0.25">
      <c r="A49" s="15">
        <v>48</v>
      </c>
      <c r="B49" s="19" t="s">
        <v>28</v>
      </c>
      <c r="C49" s="20" t="s">
        <v>29</v>
      </c>
      <c r="D49" s="20">
        <v>4</v>
      </c>
      <c r="E49" s="18" t="s">
        <v>176</v>
      </c>
      <c r="F49" s="34" t="str">
        <f>VLOOKUP(C49,'PHY ME'!C:F,3,0)</f>
        <v>PHY - Group 1</v>
      </c>
    </row>
    <row r="50" spans="1:6" x14ac:dyDescent="0.25">
      <c r="A50" s="15">
        <v>49</v>
      </c>
      <c r="B50" s="19" t="s">
        <v>30</v>
      </c>
      <c r="C50" s="20" t="s">
        <v>31</v>
      </c>
      <c r="D50" s="20">
        <v>4</v>
      </c>
      <c r="E50" s="18" t="s">
        <v>176</v>
      </c>
      <c r="F50" s="34" t="str">
        <f>VLOOKUP(C50,'PHY ME'!C:F,3,0)</f>
        <v>PHY - Group 1</v>
      </c>
    </row>
    <row r="51" spans="1:6" x14ac:dyDescent="0.25">
      <c r="A51" s="15">
        <v>50</v>
      </c>
      <c r="B51" s="21" t="s">
        <v>32</v>
      </c>
      <c r="C51" s="20" t="s">
        <v>33</v>
      </c>
      <c r="D51" s="20">
        <v>4</v>
      </c>
      <c r="E51" s="18" t="s">
        <v>176</v>
      </c>
      <c r="F51" s="34" t="str">
        <f>VLOOKUP(C51,'PHY ME'!C:F,3,0)</f>
        <v>PHY - Group 1</v>
      </c>
    </row>
    <row r="52" spans="1:6" x14ac:dyDescent="0.25">
      <c r="A52" s="15">
        <v>51</v>
      </c>
      <c r="B52" s="19" t="s">
        <v>34</v>
      </c>
      <c r="C52" s="20" t="s">
        <v>35</v>
      </c>
      <c r="D52" s="20">
        <v>4</v>
      </c>
      <c r="E52" s="18" t="s">
        <v>176</v>
      </c>
      <c r="F52" s="34" t="str">
        <f>VLOOKUP(C52,'PHY ME'!C:F,3,0)</f>
        <v>PHY - Group 1</v>
      </c>
    </row>
    <row r="53" spans="1:6" x14ac:dyDescent="0.25">
      <c r="A53" s="15">
        <v>52</v>
      </c>
      <c r="B53" s="19" t="s">
        <v>36</v>
      </c>
      <c r="C53" s="20" t="s">
        <v>37</v>
      </c>
      <c r="D53" s="20">
        <v>4</v>
      </c>
      <c r="E53" s="18" t="s">
        <v>176</v>
      </c>
      <c r="F53" s="34" t="str">
        <f>VLOOKUP(C53,'PHY ME'!C:F,3,0)</f>
        <v>PHY - Group 1</v>
      </c>
    </row>
    <row r="54" spans="1:6" x14ac:dyDescent="0.25">
      <c r="A54" s="15">
        <v>53</v>
      </c>
      <c r="B54" s="19" t="s">
        <v>38</v>
      </c>
      <c r="C54" s="20" t="s">
        <v>39</v>
      </c>
      <c r="D54" s="20">
        <v>4</v>
      </c>
      <c r="E54" s="18" t="s">
        <v>176</v>
      </c>
      <c r="F54" s="34" t="str">
        <f>VLOOKUP(C54,'PHY ME'!C:F,3,0)</f>
        <v>PHY - Group 1</v>
      </c>
    </row>
    <row r="55" spans="1:6" x14ac:dyDescent="0.25">
      <c r="A55" s="15">
        <v>54</v>
      </c>
      <c r="B55" s="19" t="s">
        <v>40</v>
      </c>
      <c r="C55" s="20" t="s">
        <v>41</v>
      </c>
      <c r="D55" s="20">
        <v>4</v>
      </c>
      <c r="E55" s="18" t="s">
        <v>176</v>
      </c>
      <c r="F55" s="34" t="str">
        <f>VLOOKUP(C55,'PHY ME'!C:F,3,0)</f>
        <v>PHY - Group 1</v>
      </c>
    </row>
    <row r="56" spans="1:6" x14ac:dyDescent="0.25">
      <c r="A56" s="15">
        <v>55</v>
      </c>
      <c r="B56" s="16" t="s">
        <v>42</v>
      </c>
      <c r="C56" s="17" t="s">
        <v>43</v>
      </c>
      <c r="D56" s="17">
        <v>4</v>
      </c>
      <c r="E56" s="18" t="s">
        <v>176</v>
      </c>
      <c r="F56" s="33" t="e">
        <f>VLOOKUP(C56,'PHY ME'!C:F,3,0)</f>
        <v>#N/A</v>
      </c>
    </row>
    <row r="57" spans="1:6" x14ac:dyDescent="0.25">
      <c r="A57" s="15">
        <v>56</v>
      </c>
      <c r="B57" s="16" t="s">
        <v>44</v>
      </c>
      <c r="C57" s="17" t="s">
        <v>45</v>
      </c>
      <c r="D57" s="17">
        <v>3</v>
      </c>
      <c r="E57" s="18" t="s">
        <v>176</v>
      </c>
      <c r="F57" s="33" t="e">
        <f>VLOOKUP(C57,'PHY ME'!C:F,3,0)</f>
        <v>#N/A</v>
      </c>
    </row>
    <row r="58" spans="1:6" x14ac:dyDescent="0.25">
      <c r="A58" s="15">
        <v>57</v>
      </c>
      <c r="B58" s="16" t="s">
        <v>46</v>
      </c>
      <c r="C58" s="17" t="s">
        <v>47</v>
      </c>
      <c r="D58" s="17">
        <v>3</v>
      </c>
      <c r="E58" s="18" t="s">
        <v>176</v>
      </c>
      <c r="F58" s="33" t="e">
        <f>VLOOKUP(C58,'PHY ME'!C:F,3,0)</f>
        <v>#N/A</v>
      </c>
    </row>
    <row r="59" spans="1:6" x14ac:dyDescent="0.25">
      <c r="A59" s="15">
        <v>58</v>
      </c>
      <c r="B59" s="16" t="s">
        <v>48</v>
      </c>
      <c r="C59" s="17" t="s">
        <v>49</v>
      </c>
      <c r="D59" s="17">
        <v>4</v>
      </c>
      <c r="E59" s="18" t="s">
        <v>176</v>
      </c>
      <c r="F59" s="33" t="e">
        <f>VLOOKUP(C59,'PHY ME'!C:F,3,0)</f>
        <v>#N/A</v>
      </c>
    </row>
    <row r="60" spans="1:6" x14ac:dyDescent="0.25">
      <c r="A60" s="15">
        <v>59</v>
      </c>
      <c r="B60" s="16" t="s">
        <v>50</v>
      </c>
      <c r="C60" s="17" t="s">
        <v>51</v>
      </c>
      <c r="D60" s="17">
        <v>4</v>
      </c>
      <c r="E60" s="18" t="s">
        <v>176</v>
      </c>
      <c r="F60" s="33" t="e">
        <f>VLOOKUP(C60,'PHY ME'!C:F,3,0)</f>
        <v>#N/A</v>
      </c>
    </row>
    <row r="61" spans="1:6" x14ac:dyDescent="0.25">
      <c r="A61" s="15">
        <v>60</v>
      </c>
      <c r="B61" s="16" t="s">
        <v>52</v>
      </c>
      <c r="C61" s="17" t="s">
        <v>53</v>
      </c>
      <c r="D61" s="17">
        <v>3</v>
      </c>
      <c r="E61" s="18" t="s">
        <v>176</v>
      </c>
      <c r="F61" s="33" t="e">
        <f>VLOOKUP(C61,'PHY ME'!C:F,3,0)</f>
        <v>#N/A</v>
      </c>
    </row>
    <row r="62" spans="1:6" x14ac:dyDescent="0.25">
      <c r="A62" s="15">
        <v>61</v>
      </c>
      <c r="B62" s="16" t="s">
        <v>54</v>
      </c>
      <c r="C62" s="17" t="s">
        <v>55</v>
      </c>
      <c r="D62" s="17">
        <v>4</v>
      </c>
      <c r="E62" s="18" t="s">
        <v>176</v>
      </c>
      <c r="F62" s="33" t="e">
        <f>VLOOKUP(C62,'PHY ME'!C:F,3,0)</f>
        <v>#N/A</v>
      </c>
    </row>
    <row r="63" spans="1:6" x14ac:dyDescent="0.25">
      <c r="A63" s="15">
        <v>62</v>
      </c>
      <c r="B63" s="16" t="s">
        <v>56</v>
      </c>
      <c r="C63" s="17" t="s">
        <v>57</v>
      </c>
      <c r="D63" s="17">
        <v>4</v>
      </c>
      <c r="E63" s="18" t="s">
        <v>176</v>
      </c>
      <c r="F63" s="33" t="str">
        <f>VLOOKUP(C63,'PHY ME'!C:F,3,0)</f>
        <v>PHY - Group 2</v>
      </c>
    </row>
    <row r="64" spans="1:6" x14ac:dyDescent="0.25">
      <c r="A64" s="15">
        <v>63</v>
      </c>
      <c r="B64" s="16" t="s">
        <v>58</v>
      </c>
      <c r="C64" s="17" t="s">
        <v>59</v>
      </c>
      <c r="D64" s="17">
        <v>4</v>
      </c>
      <c r="E64" s="18" t="s">
        <v>176</v>
      </c>
      <c r="F64" s="33" t="str">
        <f>VLOOKUP(C64,'PHY ME'!C:F,3,0)</f>
        <v>PHY - Group 2</v>
      </c>
    </row>
    <row r="65" spans="1:6" x14ac:dyDescent="0.25">
      <c r="A65" s="15">
        <v>64</v>
      </c>
      <c r="B65" s="16" t="s">
        <v>60</v>
      </c>
      <c r="C65" s="17" t="s">
        <v>61</v>
      </c>
      <c r="D65" s="17">
        <v>4</v>
      </c>
      <c r="E65" s="18" t="s">
        <v>176</v>
      </c>
      <c r="F65" s="33" t="str">
        <f>VLOOKUP(C65,'PHY ME'!C:F,3,0)</f>
        <v>PHY - Group 2</v>
      </c>
    </row>
  </sheetData>
  <autoFilter ref="A1:F1" xr:uid="{83876CBB-0B03-413D-8291-82745D25193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8291-B5B2-4C55-9605-AB5A53FB7A5A}">
  <dimension ref="A1:F40"/>
  <sheetViews>
    <sheetView workbookViewId="0">
      <selection activeCell="F16" sqref="F16"/>
    </sheetView>
  </sheetViews>
  <sheetFormatPr defaultColWidth="14.7109375" defaultRowHeight="15" x14ac:dyDescent="0.25"/>
  <cols>
    <col min="2" max="2" width="26.140625" style="4" customWidth="1"/>
    <col min="6" max="6" width="36.7109375" style="31" customWidth="1"/>
    <col min="7" max="7" width="19" customWidth="1"/>
  </cols>
  <sheetData>
    <row r="1" spans="1:6" x14ac:dyDescent="0.25">
      <c r="A1" s="1" t="s">
        <v>88</v>
      </c>
      <c r="B1" s="5" t="s">
        <v>62</v>
      </c>
      <c r="C1" s="1" t="s">
        <v>63</v>
      </c>
      <c r="D1" s="1" t="s">
        <v>64</v>
      </c>
      <c r="E1" s="2" t="s">
        <v>174</v>
      </c>
      <c r="F1" s="30" t="s">
        <v>177</v>
      </c>
    </row>
    <row r="2" spans="1:6" x14ac:dyDescent="0.25">
      <c r="A2" s="22">
        <v>1</v>
      </c>
      <c r="B2" s="23" t="s">
        <v>146</v>
      </c>
      <c r="C2" s="22" t="s">
        <v>147</v>
      </c>
      <c r="D2" s="22">
        <v>4</v>
      </c>
      <c r="E2" s="24" t="s">
        <v>172</v>
      </c>
      <c r="F2" s="31" t="e">
        <f>VLOOKUP(C2,'MAT ME'!C:G,3,0)</f>
        <v>#N/A</v>
      </c>
    </row>
    <row r="3" spans="1:6" x14ac:dyDescent="0.25">
      <c r="A3" s="22">
        <v>2</v>
      </c>
      <c r="B3" s="23" t="s">
        <v>148</v>
      </c>
      <c r="C3" s="22" t="s">
        <v>149</v>
      </c>
      <c r="D3" s="22">
        <v>4</v>
      </c>
      <c r="E3" s="24" t="s">
        <v>172</v>
      </c>
      <c r="F3" s="31" t="e">
        <f>VLOOKUP(C3,'MAT ME'!C:G,3,0)</f>
        <v>#N/A</v>
      </c>
    </row>
    <row r="4" spans="1:6" x14ac:dyDescent="0.25">
      <c r="A4" s="22">
        <v>3</v>
      </c>
      <c r="B4" s="23" t="s">
        <v>150</v>
      </c>
      <c r="C4" s="22" t="s">
        <v>151</v>
      </c>
      <c r="D4" s="22">
        <v>4</v>
      </c>
      <c r="E4" s="24" t="s">
        <v>172</v>
      </c>
      <c r="F4" s="31" t="e">
        <f>VLOOKUP(C4,'MAT ME'!C:G,3,0)</f>
        <v>#N/A</v>
      </c>
    </row>
    <row r="5" spans="1:6" x14ac:dyDescent="0.25">
      <c r="A5" s="22">
        <v>4</v>
      </c>
      <c r="B5" s="23" t="s">
        <v>28</v>
      </c>
      <c r="C5" s="22" t="s">
        <v>29</v>
      </c>
      <c r="D5" s="22">
        <v>4</v>
      </c>
      <c r="E5" s="24" t="s">
        <v>172</v>
      </c>
      <c r="F5" s="31" t="str">
        <f>VLOOKUP(C5,'MAT ME'!C:G,3,0)</f>
        <v>MAT - Group2</v>
      </c>
    </row>
    <row r="6" spans="1:6" x14ac:dyDescent="0.25">
      <c r="A6" s="22">
        <v>5</v>
      </c>
      <c r="B6" s="23" t="s">
        <v>30</v>
      </c>
      <c r="C6" s="22" t="s">
        <v>31</v>
      </c>
      <c r="D6" s="22">
        <v>4</v>
      </c>
      <c r="E6" s="24" t="s">
        <v>172</v>
      </c>
      <c r="F6" s="31" t="str">
        <f>VLOOKUP(C6,'MAT ME'!C:G,3,0)</f>
        <v>MAT - Group2</v>
      </c>
    </row>
    <row r="7" spans="1:6" x14ac:dyDescent="0.25">
      <c r="A7" s="22">
        <v>6</v>
      </c>
      <c r="B7" s="23" t="s">
        <v>32</v>
      </c>
      <c r="C7" s="22" t="s">
        <v>33</v>
      </c>
      <c r="D7" s="22">
        <v>4</v>
      </c>
      <c r="E7" s="24" t="s">
        <v>172</v>
      </c>
      <c r="F7" s="31" t="str">
        <f>VLOOKUP(C7,'MAT ME'!C:G,3,0)</f>
        <v>MAT - Group2</v>
      </c>
    </row>
    <row r="8" spans="1:6" x14ac:dyDescent="0.25">
      <c r="A8" s="22">
        <v>7</v>
      </c>
      <c r="B8" s="23" t="s">
        <v>152</v>
      </c>
      <c r="C8" s="22" t="s">
        <v>153</v>
      </c>
      <c r="D8" s="22">
        <v>4</v>
      </c>
      <c r="E8" s="24" t="s">
        <v>172</v>
      </c>
      <c r="F8" s="31" t="e">
        <f>VLOOKUP(C8,'MAT ME'!C:G,3,0)</f>
        <v>#N/A</v>
      </c>
    </row>
    <row r="9" spans="1:6" x14ac:dyDescent="0.25">
      <c r="A9" s="22">
        <v>8</v>
      </c>
      <c r="B9" s="23" t="s">
        <v>154</v>
      </c>
      <c r="C9" s="22" t="s">
        <v>155</v>
      </c>
      <c r="D9" s="22">
        <v>4</v>
      </c>
      <c r="E9" s="24" t="s">
        <v>172</v>
      </c>
      <c r="F9" s="31" t="e">
        <f>VLOOKUP(C9,'MAT ME'!C:G,3,0)</f>
        <v>#N/A</v>
      </c>
    </row>
    <row r="10" spans="1:6" x14ac:dyDescent="0.25">
      <c r="A10" s="22">
        <v>9</v>
      </c>
      <c r="B10" s="23" t="s">
        <v>34</v>
      </c>
      <c r="C10" s="22" t="s">
        <v>35</v>
      </c>
      <c r="D10" s="22">
        <v>4</v>
      </c>
      <c r="E10" s="24" t="s">
        <v>172</v>
      </c>
      <c r="F10" s="31" t="str">
        <f>VLOOKUP(C10,'MAT ME'!C:G,3,0)</f>
        <v>MAT - Group2</v>
      </c>
    </row>
    <row r="11" spans="1:6" x14ac:dyDescent="0.25">
      <c r="A11" s="22">
        <v>10</v>
      </c>
      <c r="B11" s="23" t="s">
        <v>156</v>
      </c>
      <c r="C11" s="22" t="s">
        <v>157</v>
      </c>
      <c r="D11" s="22">
        <v>4</v>
      </c>
      <c r="E11" s="24" t="s">
        <v>172</v>
      </c>
      <c r="F11" s="31" t="e">
        <f>VLOOKUP(C11,'MAT ME'!C:G,3,0)</f>
        <v>#N/A</v>
      </c>
    </row>
    <row r="12" spans="1:6" x14ac:dyDescent="0.25">
      <c r="A12" s="22">
        <v>11</v>
      </c>
      <c r="B12" s="23" t="s">
        <v>158</v>
      </c>
      <c r="C12" s="22" t="s">
        <v>159</v>
      </c>
      <c r="D12" s="22">
        <v>4</v>
      </c>
      <c r="E12" s="24" t="s">
        <v>172</v>
      </c>
      <c r="F12" s="31" t="e">
        <f>VLOOKUP(C12,'MAT ME'!C:G,3,0)</f>
        <v>#N/A</v>
      </c>
    </row>
    <row r="13" spans="1:6" x14ac:dyDescent="0.25">
      <c r="A13" s="22">
        <v>12</v>
      </c>
      <c r="B13" s="23" t="s">
        <v>36</v>
      </c>
      <c r="C13" s="22" t="s">
        <v>37</v>
      </c>
      <c r="D13" s="22">
        <v>4</v>
      </c>
      <c r="E13" s="24" t="s">
        <v>172</v>
      </c>
      <c r="F13" s="31" t="str">
        <f>VLOOKUP(C13,'MAT ME'!C:G,3,0)</f>
        <v>MAT - Group2</v>
      </c>
    </row>
    <row r="14" spans="1:6" x14ac:dyDescent="0.25">
      <c r="A14" s="22">
        <v>13</v>
      </c>
      <c r="B14" s="23" t="s">
        <v>38</v>
      </c>
      <c r="C14" s="22" t="s">
        <v>39</v>
      </c>
      <c r="D14" s="22">
        <v>4</v>
      </c>
      <c r="E14" s="24" t="s">
        <v>172</v>
      </c>
      <c r="F14" s="31" t="str">
        <f>VLOOKUP(C14,'MAT ME'!C:G,3,0)</f>
        <v>MAT - Group2</v>
      </c>
    </row>
    <row r="15" spans="1:6" x14ac:dyDescent="0.25">
      <c r="A15" s="22">
        <v>14</v>
      </c>
      <c r="B15" s="23" t="s">
        <v>160</v>
      </c>
      <c r="C15" s="22" t="s">
        <v>161</v>
      </c>
      <c r="D15" s="22">
        <v>4</v>
      </c>
      <c r="E15" s="24" t="s">
        <v>172</v>
      </c>
      <c r="F15" s="31" t="e">
        <f>VLOOKUP(C15,'MAT ME'!C:G,3,0)</f>
        <v>#N/A</v>
      </c>
    </row>
    <row r="16" spans="1:6" x14ac:dyDescent="0.25">
      <c r="A16" s="22">
        <v>15</v>
      </c>
      <c r="B16" s="23" t="s">
        <v>40</v>
      </c>
      <c r="C16" s="22" t="s">
        <v>41</v>
      </c>
      <c r="D16" s="22">
        <v>4</v>
      </c>
      <c r="E16" s="24" t="s">
        <v>172</v>
      </c>
      <c r="F16" s="31" t="str">
        <f>VLOOKUP(C16,'MAT ME'!C:G,3,0)</f>
        <v>MAT - Group2</v>
      </c>
    </row>
    <row r="17" spans="1:6" x14ac:dyDescent="0.25">
      <c r="A17" s="22">
        <v>16</v>
      </c>
      <c r="B17" s="23" t="s">
        <v>162</v>
      </c>
      <c r="C17" s="22" t="s">
        <v>163</v>
      </c>
      <c r="D17" s="22">
        <v>4</v>
      </c>
      <c r="E17" s="24" t="s">
        <v>172</v>
      </c>
      <c r="F17" s="31" t="e">
        <f>VLOOKUP(C17,'MAT ME'!C:G,3,0)</f>
        <v>#N/A</v>
      </c>
    </row>
    <row r="18" spans="1:6" x14ac:dyDescent="0.25">
      <c r="A18" s="22">
        <v>17</v>
      </c>
      <c r="B18" s="23" t="s">
        <v>164</v>
      </c>
      <c r="C18" s="22" t="s">
        <v>165</v>
      </c>
      <c r="D18" s="22">
        <v>4</v>
      </c>
      <c r="E18" s="24" t="s">
        <v>172</v>
      </c>
      <c r="F18" s="31" t="e">
        <f>VLOOKUP(C18,'MAT ME'!C:G,3,0)</f>
        <v>#N/A</v>
      </c>
    </row>
    <row r="19" spans="1:6" x14ac:dyDescent="0.25">
      <c r="A19" s="25">
        <v>18</v>
      </c>
      <c r="B19" s="26" t="s">
        <v>166</v>
      </c>
      <c r="C19" s="25" t="s">
        <v>167</v>
      </c>
      <c r="D19" s="25">
        <v>4</v>
      </c>
      <c r="E19" s="24" t="s">
        <v>172</v>
      </c>
      <c r="F19" s="31" t="e">
        <f>VLOOKUP(C19,'MAT ME'!C:G,3,0)</f>
        <v>#N/A</v>
      </c>
    </row>
    <row r="20" spans="1:6" x14ac:dyDescent="0.25">
      <c r="A20" s="27">
        <v>19</v>
      </c>
      <c r="B20" s="28" t="s">
        <v>168</v>
      </c>
      <c r="C20" s="27" t="s">
        <v>65</v>
      </c>
      <c r="D20" s="27">
        <v>4</v>
      </c>
      <c r="E20" s="29" t="s">
        <v>173</v>
      </c>
      <c r="F20" s="31" t="e">
        <f>VLOOKUP(C20,'MAT ME'!C:G,3,0)</f>
        <v>#N/A</v>
      </c>
    </row>
    <row r="21" spans="1:6" x14ac:dyDescent="0.25">
      <c r="A21" s="27">
        <v>20</v>
      </c>
      <c r="B21" s="28" t="s">
        <v>169</v>
      </c>
      <c r="C21" s="27" t="s">
        <v>57</v>
      </c>
      <c r="D21" s="27">
        <v>4</v>
      </c>
      <c r="E21" s="29" t="s">
        <v>173</v>
      </c>
      <c r="F21" s="31" t="str">
        <f>VLOOKUP(C21,'MAT ME'!C:G,3,0)</f>
        <v>MAT - Group2</v>
      </c>
    </row>
    <row r="22" spans="1:6" x14ac:dyDescent="0.25">
      <c r="A22" s="27">
        <v>21</v>
      </c>
      <c r="B22" s="28" t="s">
        <v>170</v>
      </c>
      <c r="C22" s="27" t="s">
        <v>59</v>
      </c>
      <c r="D22" s="27">
        <v>4</v>
      </c>
      <c r="E22" s="29" t="s">
        <v>173</v>
      </c>
      <c r="F22" s="31" t="str">
        <f>VLOOKUP(C22,'MAT ME'!C:G,3,0)</f>
        <v>MAT - Group2</v>
      </c>
    </row>
    <row r="23" spans="1:6" x14ac:dyDescent="0.25">
      <c r="A23" s="27">
        <v>22</v>
      </c>
      <c r="B23" s="28" t="s">
        <v>171</v>
      </c>
      <c r="C23" s="27" t="s">
        <v>61</v>
      </c>
      <c r="D23" s="27">
        <v>4</v>
      </c>
      <c r="E23" s="29" t="s">
        <v>173</v>
      </c>
      <c r="F23" s="31" t="str">
        <f>VLOOKUP(C23,'MAT ME'!C:G,3,0)</f>
        <v>MAT - Group2</v>
      </c>
    </row>
    <row r="24" spans="1:6" x14ac:dyDescent="0.25">
      <c r="A24" s="27">
        <v>23</v>
      </c>
      <c r="B24" s="28" t="s">
        <v>66</v>
      </c>
      <c r="C24" s="27" t="s">
        <v>67</v>
      </c>
      <c r="D24" s="27">
        <v>4</v>
      </c>
      <c r="E24" s="29" t="s">
        <v>173</v>
      </c>
      <c r="F24" s="31" t="e">
        <f>VLOOKUP(C24,'MAT ME'!C:G,3,0)</f>
        <v>#N/A</v>
      </c>
    </row>
    <row r="25" spans="1:6" x14ac:dyDescent="0.25">
      <c r="A25" s="27">
        <v>24</v>
      </c>
      <c r="B25" s="28" t="s">
        <v>68</v>
      </c>
      <c r="C25" s="27" t="s">
        <v>69</v>
      </c>
      <c r="D25" s="27">
        <v>4</v>
      </c>
      <c r="E25" s="29" t="s">
        <v>173</v>
      </c>
      <c r="F25" s="31" t="e">
        <f>VLOOKUP(C25,'MAT ME'!C:G,3,0)</f>
        <v>#N/A</v>
      </c>
    </row>
    <row r="26" spans="1:6" x14ac:dyDescent="0.25">
      <c r="A26" s="27">
        <v>25</v>
      </c>
      <c r="B26" s="28" t="s">
        <v>0</v>
      </c>
      <c r="C26" s="27" t="s">
        <v>1</v>
      </c>
      <c r="D26" s="27">
        <v>4</v>
      </c>
      <c r="E26" s="29" t="s">
        <v>173</v>
      </c>
      <c r="F26" s="31" t="str">
        <f>VLOOKUP(C26,'MAT ME'!C:G,3,0)</f>
        <v>MAT - Group2</v>
      </c>
    </row>
    <row r="27" spans="1:6" x14ac:dyDescent="0.25">
      <c r="A27" s="27">
        <v>26</v>
      </c>
      <c r="B27" s="28" t="s">
        <v>2</v>
      </c>
      <c r="C27" s="27" t="s">
        <v>3</v>
      </c>
      <c r="D27" s="27">
        <v>4</v>
      </c>
      <c r="E27" s="29" t="s">
        <v>173</v>
      </c>
      <c r="F27" s="31" t="str">
        <f>VLOOKUP(C27,'MAT ME'!C:G,3,0)</f>
        <v>MAT - Group2</v>
      </c>
    </row>
    <row r="28" spans="1:6" x14ac:dyDescent="0.25">
      <c r="A28" s="27">
        <v>27</v>
      </c>
      <c r="B28" s="28" t="s">
        <v>4</v>
      </c>
      <c r="C28" s="27" t="s">
        <v>5</v>
      </c>
      <c r="D28" s="27">
        <v>4</v>
      </c>
      <c r="E28" s="29" t="s">
        <v>173</v>
      </c>
      <c r="F28" s="31" t="str">
        <f>VLOOKUP(C28,'MAT ME'!C:G,3,0)</f>
        <v>MAT - Group2</v>
      </c>
    </row>
    <row r="29" spans="1:6" x14ac:dyDescent="0.25">
      <c r="A29" s="27">
        <v>28</v>
      </c>
      <c r="B29" s="28" t="s">
        <v>70</v>
      </c>
      <c r="C29" s="27" t="s">
        <v>71</v>
      </c>
      <c r="D29" s="27">
        <v>4</v>
      </c>
      <c r="E29" s="29" t="s">
        <v>173</v>
      </c>
      <c r="F29" s="31" t="e">
        <f>VLOOKUP(C29,'MAT ME'!C:G,3,0)</f>
        <v>#N/A</v>
      </c>
    </row>
    <row r="30" spans="1:6" x14ac:dyDescent="0.25">
      <c r="A30" s="27">
        <v>29</v>
      </c>
      <c r="B30" s="28" t="s">
        <v>72</v>
      </c>
      <c r="C30" s="27" t="s">
        <v>73</v>
      </c>
      <c r="D30" s="27">
        <v>4</v>
      </c>
      <c r="E30" s="29" t="s">
        <v>173</v>
      </c>
      <c r="F30" s="31" t="e">
        <f>VLOOKUP(C30,'MAT ME'!C:G,3,0)</f>
        <v>#N/A</v>
      </c>
    </row>
    <row r="31" spans="1:6" x14ac:dyDescent="0.25">
      <c r="A31" s="27">
        <v>30</v>
      </c>
      <c r="B31" s="28" t="s">
        <v>6</v>
      </c>
      <c r="C31" s="27" t="s">
        <v>7</v>
      </c>
      <c r="D31" s="27">
        <v>4</v>
      </c>
      <c r="E31" s="29" t="s">
        <v>173</v>
      </c>
      <c r="F31" s="31" t="str">
        <f>VLOOKUP(C31,'MAT ME'!C:G,3,0)</f>
        <v>MAT - Group2</v>
      </c>
    </row>
    <row r="32" spans="1:6" x14ac:dyDescent="0.25">
      <c r="A32" s="27">
        <v>31</v>
      </c>
      <c r="B32" s="28" t="s">
        <v>8</v>
      </c>
      <c r="C32" s="27" t="s">
        <v>9</v>
      </c>
      <c r="D32" s="27">
        <v>4</v>
      </c>
      <c r="E32" s="29" t="s">
        <v>173</v>
      </c>
      <c r="F32" s="31" t="str">
        <f>VLOOKUP(C32,'MAT ME'!C:G,3,0)</f>
        <v>MAT - Group2</v>
      </c>
    </row>
    <row r="33" spans="1:6" x14ac:dyDescent="0.25">
      <c r="A33" s="27">
        <v>32</v>
      </c>
      <c r="B33" s="28" t="s">
        <v>10</v>
      </c>
      <c r="C33" s="27" t="s">
        <v>11</v>
      </c>
      <c r="D33" s="27">
        <v>4</v>
      </c>
      <c r="E33" s="29" t="s">
        <v>173</v>
      </c>
      <c r="F33" s="31" t="str">
        <f>VLOOKUP(C33,'MAT ME'!C:G,3,0)</f>
        <v>MAT - Group2</v>
      </c>
    </row>
    <row r="34" spans="1:6" x14ac:dyDescent="0.25">
      <c r="A34" s="27">
        <v>33</v>
      </c>
      <c r="B34" s="28" t="s">
        <v>74</v>
      </c>
      <c r="C34" s="27" t="s">
        <v>75</v>
      </c>
      <c r="D34" s="27">
        <v>4</v>
      </c>
      <c r="E34" s="29" t="s">
        <v>173</v>
      </c>
      <c r="F34" s="31" t="e">
        <f>VLOOKUP(C34,'MAT ME'!C:G,3,0)</f>
        <v>#N/A</v>
      </c>
    </row>
    <row r="35" spans="1:6" x14ac:dyDescent="0.25">
      <c r="A35" s="27">
        <v>34</v>
      </c>
      <c r="B35" s="28" t="s">
        <v>76</v>
      </c>
      <c r="C35" s="27" t="s">
        <v>77</v>
      </c>
      <c r="D35" s="27">
        <v>4</v>
      </c>
      <c r="E35" s="29" t="s">
        <v>173</v>
      </c>
      <c r="F35" s="31" t="e">
        <f>VLOOKUP(C35,'MAT ME'!C:G,3,0)</f>
        <v>#N/A</v>
      </c>
    </row>
    <row r="36" spans="1:6" x14ac:dyDescent="0.25">
      <c r="A36" s="27">
        <v>35</v>
      </c>
      <c r="B36" s="28" t="s">
        <v>78</v>
      </c>
      <c r="C36" s="27" t="s">
        <v>79</v>
      </c>
      <c r="D36" s="27">
        <v>4</v>
      </c>
      <c r="E36" s="29" t="s">
        <v>173</v>
      </c>
      <c r="F36" s="32" t="str">
        <f>VLOOKUP(C36,'MAT ME'!C:G,3,0)</f>
        <v>MAT - Group1</v>
      </c>
    </row>
    <row r="37" spans="1:6" x14ac:dyDescent="0.25">
      <c r="A37" s="27">
        <v>36</v>
      </c>
      <c r="B37" s="28" t="s">
        <v>80</v>
      </c>
      <c r="C37" s="27" t="s">
        <v>81</v>
      </c>
      <c r="D37" s="27">
        <v>4</v>
      </c>
      <c r="E37" s="29" t="s">
        <v>173</v>
      </c>
      <c r="F37" s="32" t="str">
        <f>VLOOKUP(C37,'MAT ME'!C:G,3,0)</f>
        <v>MAT - Group1</v>
      </c>
    </row>
    <row r="38" spans="1:6" x14ac:dyDescent="0.25">
      <c r="A38" s="27">
        <v>37</v>
      </c>
      <c r="B38" s="28" t="s">
        <v>82</v>
      </c>
      <c r="C38" s="27" t="s">
        <v>83</v>
      </c>
      <c r="D38" s="27">
        <v>4</v>
      </c>
      <c r="E38" s="29" t="s">
        <v>173</v>
      </c>
      <c r="F38" s="32" t="str">
        <f>VLOOKUP(C38,'MAT ME'!C:G,3,0)</f>
        <v>MAT - Group1</v>
      </c>
    </row>
    <row r="39" spans="1:6" x14ac:dyDescent="0.25">
      <c r="A39" s="27">
        <v>38</v>
      </c>
      <c r="B39" s="28" t="s">
        <v>84</v>
      </c>
      <c r="C39" s="27" t="s">
        <v>85</v>
      </c>
      <c r="D39" s="27">
        <v>4</v>
      </c>
      <c r="E39" s="29" t="s">
        <v>173</v>
      </c>
      <c r="F39" s="32" t="str">
        <f>VLOOKUP(C39,'MAT ME'!C:G,3,0)</f>
        <v>MAT - Group1</v>
      </c>
    </row>
    <row r="40" spans="1:6" x14ac:dyDescent="0.25">
      <c r="A40" s="27">
        <v>39</v>
      </c>
      <c r="B40" s="28" t="s">
        <v>86</v>
      </c>
      <c r="C40" s="27" t="s">
        <v>87</v>
      </c>
      <c r="D40" s="27">
        <v>4</v>
      </c>
      <c r="E40" s="29" t="s">
        <v>173</v>
      </c>
      <c r="F40" s="32" t="str">
        <f>VLOOKUP(C40,'MAT ME'!C:G,3,0)</f>
        <v>MAT - Group1</v>
      </c>
    </row>
  </sheetData>
  <autoFilter ref="A1:F1" xr:uid="{465A8291-B5B2-4C55-9605-AB5A53FB7A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 ME</vt:lpstr>
      <vt:lpstr>PHY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Poh Ling</dc:creator>
  <cp:lastModifiedBy>Josephine Ang Dun Ai</cp:lastModifiedBy>
  <dcterms:created xsi:type="dcterms:W3CDTF">2026-07-29T03:53:31Z</dcterms:created>
  <dcterms:modified xsi:type="dcterms:W3CDTF">2026-07-29T11:15:48Z</dcterms:modified>
</cp:coreProperties>
</file>